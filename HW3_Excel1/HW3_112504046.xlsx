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計概TA\1011\"/>
    </mc:Choice>
  </mc:AlternateContent>
  <xr:revisionPtr revIDLastSave="0" documentId="8_{AF966C9F-0CA3-4421-A6B0-9AAAE8ADC398}" xr6:coauthVersionLast="47" xr6:coauthVersionMax="47" xr10:uidLastSave="{00000000-0000-0000-0000-000000000000}"/>
  <bookViews>
    <workbookView xWindow="-108" yWindow="-108" windowWidth="23256" windowHeight="12456" xr2:uid="{60C2E2F6-AD98-4042-9BF5-DA3DB7B4AD4C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1" l="1"/>
  <c r="N17" i="1"/>
  <c r="H17" i="1"/>
  <c r="L2" i="1"/>
  <c r="J17" i="1"/>
  <c r="C17" i="1"/>
  <c r="D17" i="1"/>
  <c r="K2" i="1" a="1"/>
  <c r="K2" i="1"/>
  <c r="J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K3" i="1" a="1"/>
  <c r="K3" i="1"/>
  <c r="K4" i="1" a="1"/>
  <c r="K4" i="1"/>
  <c r="K5" i="1" a="1"/>
  <c r="K5" i="1"/>
  <c r="K6" i="1" a="1"/>
  <c r="K6" i="1"/>
  <c r="K7" i="1" a="1"/>
  <c r="K7" i="1"/>
  <c r="K8" i="1" a="1"/>
  <c r="K8" i="1"/>
  <c r="K9" i="1" a="1"/>
  <c r="K9" i="1"/>
  <c r="K10" i="1" a="1"/>
  <c r="K10" i="1"/>
  <c r="K11" i="1" a="1"/>
  <c r="K11" i="1"/>
  <c r="K12" i="1" a="1"/>
  <c r="K12" i="1"/>
  <c r="K13" i="1" a="1"/>
  <c r="K13" i="1"/>
  <c r="K14" i="1" a="1"/>
  <c r="K14" i="1"/>
  <c r="K15" i="1" a="1"/>
  <c r="K1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<sst xmlns="http://schemas.openxmlformats.org/spreadsheetml/2006/main" count="34" uniqueCount="34">
  <si>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</si>
  <si>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</si>
  <si>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</si>
  <si>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</si>
  <si>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</si>
  <si>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</si>
  <si>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</si>
  <si>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Q1: Exam_Average</t>
    <phoneticPr fontId="2" type="noConversion"/>
  </si>
  <si>
    <t>Midterm</t>
    <phoneticPr fontId="2" type="noConversion"/>
  </si>
  <si>
    <t>Q2: overall score</t>
  </si>
  <si>
    <t>Q3</t>
    <phoneticPr fontId="2" type="noConversion"/>
  </si>
  <si>
    <t>Q4</t>
    <phoneticPr fontId="2" type="noConversion"/>
  </si>
  <si>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</si>
  <si>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</si>
  <si>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</si>
  <si>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</si>
  <si>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</si>
  <si>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</si>
  <si>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</si>
  <si>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</si>
  <si>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</si>
  <si>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</si>
  <si>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</si>
  <si>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</si>
  <si>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</si>
  <si>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</si>
  <si>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</si>
  <si>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</si>
  <si>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</si>
  <si>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</si>
  <si>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</si>
  <si>
    <t>pass</t>
  </si>
  <si>
    <t>fail</t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</si>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</sst>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工作表1!$J$1</c:f>
              <c:strCache>
                <c:ptCount val="1"/>
                <c:pt idx="0">
                  <c:v>Q2: overall score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val>
            <c:numRef>
              <c:f>工作表1!$J$2:$J$15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80.800000000000011</c:v>
                </c:pt>
                <c:pt idx="4">
                  <c:v>84.7</c:v>
                </c:pt>
                <c:pt idx="5">
                  <c:v>80.800000000000011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5-4275-B059-431032F9F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2454536"/>
        <c:axId val="1999037960"/>
      </c:barChart>
      <c:catAx>
        <c:axId val="1642454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037960"/>
        <c:crosses val="autoZero"/>
        <c:auto val="1"/>
        <c:lblAlgn val="ctr"/>
        <c:lblOffset val="100"/>
        <c:noMultiLvlLbl val="0"/>
      </c:catAx>
      <c:valAx>
        <c:axId val="1999037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454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pass and fail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44-4FE3-B135-BB07395E08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工作表1!$M$17:$M$18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工作表1!$N$17:$N$18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4-4FE3-B135-BB07395E08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24</xdr:row>
      <xdr:rowOff>95250</xdr:rowOff>
    </xdr:from>
    <xdr:to>
      <xdr:col>10</xdr:col>
      <xdr:colOff>1743075</xdr:colOff>
      <xdr:row>38</xdr:row>
      <xdr:rowOff>38100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E0DC535-A766-EBC3-A79F-4D0C51956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352425</xdr:colOff>
      <xdr:row>18</xdr:row>
      <xdr:rowOff>47625</xdr:rowOff>
    </xdr:from>
    <xdr:to>
      <xdr:col>16</xdr:col>
      <xdr:colOff>428625</xdr:colOff>
      <xdr:row>31</xdr:row>
      <xdr:rowOff>190500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4DB0ABAF-30E2-90D8-BA33-511FB2F57A5C}"/>
            </a:ext>
            <a:ext uri="{147F2762-F138-4A5C-976F-8EAC2B608ADB}">
              <a16:predDERef xmlns:a16="http://schemas.microsoft.com/office/drawing/2014/main" pred="{8E0DC535-A766-EBC3-A79F-4D0C51956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N24"/>
  <sheetViews>
    <sheetView tabSelected="1" workbookViewId="0">
      <selection activeCell="Q18" sqref="Q18"/>
    </sheetView>
  </sheetViews>
  <sheetFormatPr defaultRowHeight="16.149999999999999"/>
  <cols>
    <col min="3" max="4" width="13" bestFit="1" customWidth="1"/>
    <col min="8" max="8" width="18.625" bestFit="1" customWidth="1"/>
    <col min="10" max="10" width="16.125" bestFit="1" customWidth="1"/>
    <col min="11" max="11" width="24.25" customWidth="1"/>
    <col min="12" max="12" width="2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4</v>
      </c>
      <c r="B2" s="1" t="s">
        <v>12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 s="5">
        <f>0.1*SUM(C2:G2)+0.5*I2</f>
        <v>91.7</v>
      </c>
      <c r="K2" s="5" t="str" cm="1">
        <f t="array" ref="K2">_xlfn.IFS(J2&gt;=90,"A",J2&gt;=80,"B",J2&gt;=70,"C",J2&gt;=60,"D",J2&lt;60,"F")</f>
        <v>A</v>
      </c>
      <c r="L2" s="5" t="str">
        <f>IF(J2&gt;=60,"pass","fail")</f>
        <v>pass</v>
      </c>
    </row>
    <row r="3" spans="1:12">
      <c r="A3" s="1">
        <v>3</v>
      </c>
      <c r="B3" s="1" t="s">
        <v>13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ref="H3:H15" si="0">AVERAGE(C3:G3)</f>
        <v>86</v>
      </c>
      <c r="I3" s="1">
        <v>94</v>
      </c>
      <c r="J3" s="5">
        <f t="shared" ref="J3:J15" si="1">0.1*SUM(C3:G3)+0.5*I3</f>
        <v>90</v>
      </c>
      <c r="K3" s="5" t="str" cm="1">
        <f t="array" ref="K3">_xlfn.IFS(J3&gt;=90,"A",J3&gt;=80,"B",J3&gt;=70,"C",J3&gt;=60,"D",J3&lt;60,"F")</f>
        <v>A</v>
      </c>
      <c r="L3" s="5" t="str">
        <f t="shared" ref="L3:L15" si="2">IF(J3&gt;=60,"pass","fail")</f>
        <v>pass</v>
      </c>
    </row>
    <row r="4" spans="1:12">
      <c r="A4" s="1">
        <v>10</v>
      </c>
      <c r="B4" s="1" t="s">
        <v>14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0"/>
        <v>82.4</v>
      </c>
      <c r="I4" s="1">
        <v>80</v>
      </c>
      <c r="J4" s="5">
        <f t="shared" si="1"/>
        <v>81.2</v>
      </c>
      <c r="K4" s="5" t="str" cm="1">
        <f t="array" ref="K4">_xlfn.IFS(J4&gt;=90,"A",J4&gt;=80,"B",J4&gt;=70,"C",J4&gt;=60,"D",J4&lt;60,"F")</f>
        <v>B</v>
      </c>
      <c r="L4" s="5" t="str">
        <f t="shared" si="2"/>
        <v>pass</v>
      </c>
    </row>
    <row r="5" spans="1:12">
      <c r="A5" s="1">
        <v>6</v>
      </c>
      <c r="B5" s="1" t="s">
        <v>15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0"/>
        <v>81.599999999999994</v>
      </c>
      <c r="I5" s="1">
        <v>80</v>
      </c>
      <c r="J5" s="5">
        <f t="shared" si="1"/>
        <v>80.800000000000011</v>
      </c>
      <c r="K5" s="5" t="str" cm="1">
        <f t="array" ref="K5">_xlfn.IFS(J5&gt;=90,"A",J5&gt;=80,"B",J5&gt;=70,"C",J5&gt;=60,"D",J5&lt;60,"F")</f>
        <v>B</v>
      </c>
      <c r="L5" s="5" t="str">
        <f t="shared" si="2"/>
        <v>pass</v>
      </c>
    </row>
    <row r="6" spans="1:12">
      <c r="A6" s="1">
        <v>2</v>
      </c>
      <c r="B6" s="1" t="s">
        <v>16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0"/>
        <v>81.400000000000006</v>
      </c>
      <c r="I6" s="1">
        <v>88</v>
      </c>
      <c r="J6" s="5">
        <f t="shared" si="1"/>
        <v>84.7</v>
      </c>
      <c r="K6" s="5" t="str" cm="1">
        <f t="array" ref="K6">_xlfn.IFS(J6&gt;=90,"A",J6&gt;=80,"B",J6&gt;=70,"C",J6&gt;=60,"D",J6&lt;60,"F")</f>
        <v>B</v>
      </c>
      <c r="L6" s="5" t="str">
        <f t="shared" si="2"/>
        <v>pass</v>
      </c>
    </row>
    <row r="7" spans="1:12">
      <c r="A7" s="1">
        <v>5</v>
      </c>
      <c r="B7" s="1" t="s">
        <v>17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0"/>
        <v>80.599999999999994</v>
      </c>
      <c r="I7" s="1">
        <v>81</v>
      </c>
      <c r="J7" s="5">
        <f t="shared" si="1"/>
        <v>80.800000000000011</v>
      </c>
      <c r="K7" s="5" t="str" cm="1">
        <f t="array" ref="K7">_xlfn.IFS(J7&gt;=90,"A",J7&gt;=80,"B",J7&gt;=70,"C",J7&gt;=60,"D",J7&lt;60,"F")</f>
        <v>B</v>
      </c>
      <c r="L7" s="5" t="str">
        <f t="shared" si="2"/>
        <v>pass</v>
      </c>
    </row>
    <row r="8" spans="1:12">
      <c r="A8" s="1">
        <v>7</v>
      </c>
      <c r="B8" s="1" t="s">
        <v>18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0"/>
        <v>78.8</v>
      </c>
      <c r="I8" s="1">
        <v>77</v>
      </c>
      <c r="J8" s="5">
        <f t="shared" si="1"/>
        <v>77.900000000000006</v>
      </c>
      <c r="K8" s="5" t="str" cm="1">
        <f t="array" ref="K8">_xlfn.IFS(J8&gt;=90,"A",J8&gt;=80,"B",J8&gt;=70,"C",J8&gt;=60,"D",J8&lt;60,"F")</f>
        <v>C</v>
      </c>
      <c r="L8" s="5" t="str">
        <f t="shared" si="2"/>
        <v>pass</v>
      </c>
    </row>
    <row r="9" spans="1:12">
      <c r="A9" s="1">
        <v>9</v>
      </c>
      <c r="B9" s="1" t="s">
        <v>19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0"/>
        <v>75.400000000000006</v>
      </c>
      <c r="I9" s="1">
        <v>73</v>
      </c>
      <c r="J9" s="5">
        <f t="shared" si="1"/>
        <v>74.2</v>
      </c>
      <c r="K9" s="5" t="str" cm="1">
        <f t="array" ref="K9">_xlfn.IFS(J9&gt;=90,"A",J9&gt;=80,"B",J9&gt;=70,"C",J9&gt;=60,"D",J9&lt;60,"F")</f>
        <v>C</v>
      </c>
      <c r="L9" s="5" t="str">
        <f t="shared" si="2"/>
        <v>pass</v>
      </c>
    </row>
    <row r="10" spans="1:12">
      <c r="A10" s="1">
        <v>13</v>
      </c>
      <c r="B10" s="1" t="s">
        <v>20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0"/>
        <v>73.400000000000006</v>
      </c>
      <c r="I10" s="1">
        <v>77</v>
      </c>
      <c r="J10" s="5">
        <f t="shared" si="1"/>
        <v>75.2</v>
      </c>
      <c r="K10" s="5" t="str" cm="1">
        <f t="array" ref="K10">_xlfn.IFS(J10&gt;=90,"A",J10&gt;=80,"B",J10&gt;=70,"C",J10&gt;=60,"D",J10&lt;60,"F")</f>
        <v>C</v>
      </c>
      <c r="L10" s="5" t="str">
        <f t="shared" si="2"/>
        <v>pass</v>
      </c>
    </row>
    <row r="11" spans="1:12">
      <c r="A11" s="1">
        <v>1</v>
      </c>
      <c r="B11" s="1" t="s">
        <v>21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0"/>
        <v>73.2</v>
      </c>
      <c r="I11" s="1">
        <v>82</v>
      </c>
      <c r="J11" s="5">
        <f t="shared" si="1"/>
        <v>77.599999999999994</v>
      </c>
      <c r="K11" s="5" t="str" cm="1">
        <f t="array" ref="K11">_xlfn.IFS(J11&gt;=90,"A",J11&gt;=80,"B",J11&gt;=70,"C",J11&gt;=60,"D",J11&lt;60,"F")</f>
        <v>C</v>
      </c>
      <c r="L11" s="5" t="str">
        <f t="shared" si="2"/>
        <v>pass</v>
      </c>
    </row>
    <row r="12" spans="1:12">
      <c r="A12" s="1">
        <v>8</v>
      </c>
      <c r="B12" s="1" t="s">
        <v>22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0"/>
        <v>73.2</v>
      </c>
      <c r="I12" s="1">
        <v>88</v>
      </c>
      <c r="J12" s="5">
        <f t="shared" si="1"/>
        <v>80.599999999999994</v>
      </c>
      <c r="K12" s="5" t="str" cm="1">
        <f t="array" ref="K12">_xlfn.IFS(J12&gt;=90,"A",J12&gt;=80,"B",J12&gt;=70,"C",J12&gt;=60,"D",J12&lt;60,"F")</f>
        <v>B</v>
      </c>
      <c r="L12" s="5" t="str">
        <f t="shared" si="2"/>
        <v>pass</v>
      </c>
    </row>
    <row r="13" spans="1:12">
      <c r="A13" s="1">
        <v>12</v>
      </c>
      <c r="B13" s="1" t="s">
        <v>23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0"/>
        <v>66</v>
      </c>
      <c r="I13" s="1">
        <v>52</v>
      </c>
      <c r="J13" s="5">
        <f t="shared" si="1"/>
        <v>59</v>
      </c>
      <c r="K13" s="5" t="str" cm="1">
        <f t="array" ref="K13">_xlfn.IFS(J13&gt;=90,"A",J13&gt;=80,"B",J13&gt;=70,"C",J13&gt;=60,"D",J13&lt;60,"F")</f>
        <v>F</v>
      </c>
      <c r="L13" s="5" t="str">
        <f t="shared" si="2"/>
        <v>fail</v>
      </c>
    </row>
    <row r="14" spans="1:12">
      <c r="A14" s="1">
        <v>11</v>
      </c>
      <c r="B14" s="1" t="s">
        <v>24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0"/>
        <v>64.8</v>
      </c>
      <c r="I14" s="1">
        <v>69</v>
      </c>
      <c r="J14" s="5">
        <f t="shared" si="1"/>
        <v>66.900000000000006</v>
      </c>
      <c r="K14" s="5" t="str" cm="1">
        <f t="array" ref="K14">_xlfn.IFS(J14&gt;=90,"A",J14&gt;=80,"B",J14&gt;=70,"C",J14&gt;=60,"D",J14&lt;60,"F")</f>
        <v>D</v>
      </c>
      <c r="L14" s="5" t="str">
        <f t="shared" si="2"/>
        <v>pass</v>
      </c>
    </row>
    <row r="15" spans="1:12">
      <c r="A15" s="1">
        <v>14</v>
      </c>
      <c r="B15" s="1" t="s">
        <v>25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0"/>
        <v>57.2</v>
      </c>
      <c r="I15" s="1">
        <v>54</v>
      </c>
      <c r="J15" s="5">
        <f t="shared" si="1"/>
        <v>55.6</v>
      </c>
      <c r="K15" s="5" t="str" cm="1">
        <f t="array" ref="K15">_xlfn.IFS(J15&gt;=90,"A",J15&gt;=80,"B",J15&gt;=70,"C",J15&gt;=60,"D",J15&lt;60,"F")</f>
        <v>F</v>
      </c>
      <c r="L15" s="5" t="str">
        <f t="shared" si="2"/>
        <v>fail</v>
      </c>
    </row>
    <row r="16" spans="1:12">
      <c r="C16" s="4" t="s">
        <v>26</v>
      </c>
      <c r="D16" s="4" t="s">
        <v>27</v>
      </c>
      <c r="H16" s="4" t="s">
        <v>28</v>
      </c>
      <c r="J16" s="4" t="s">
        <v>29</v>
      </c>
      <c r="L16" s="4" t="s">
        <v>30</v>
      </c>
    </row>
    <row r="17" spans="3:14">
      <c r="C17">
        <f>MAX(C2:C15)</f>
        <v>98</v>
      </c>
      <c r="D17">
        <f>LARGE(D2:D15,2)</f>
        <v>92</v>
      </c>
      <c r="H17">
        <f>COUNTIF(H2:H15,"&lt;80")</f>
        <v>8</v>
      </c>
      <c r="J17">
        <f>AVERAGE(J2:J15)</f>
        <v>76.871428571428581</v>
      </c>
      <c r="M17" t="s">
        <v>31</v>
      </c>
      <c r="N17">
        <f>COUNTIF($L$2:$L$15,"pass")</f>
        <v>12</v>
      </c>
    </row>
    <row r="18" spans="3:14">
      <c r="M18" t="s">
        <v>32</v>
      </c>
      <c r="N18">
        <f>COUNTIF($L$2:$L$15,"fail")</f>
        <v>2</v>
      </c>
    </row>
    <row r="24" spans="3:14">
      <c r="J24" s="4" t="s">
        <v>33</v>
      </c>
    </row>
  </sheetData>
  <phoneticPr fontId="2" type="noConversion"/>
  <conditionalFormatting sqref="L2:L15">
    <cfRule type="cellIs" dxfId="1" priority="2" operator="equal">
      <formula>"pass"</formula>
    </cfRule>
  </conditionalFormatting>
  <conditionalFormatting sqref="L2:L15">
    <cfRule type="cellIs" dxfId="0" priority="1" operator="equal">
      <formula>"fail"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芷嫺 簡</dc:creator>
  <cp:keywords/>
  <dc:description/>
  <cp:lastModifiedBy/>
  <cp:revision/>
  <dcterms:created xsi:type="dcterms:W3CDTF">2023-10-19T05:27:10Z</dcterms:created>
  <dcterms:modified xsi:type="dcterms:W3CDTF">2025-10-06T10:51:30Z</dcterms:modified>
  <cp:category/>
  <cp:contentStatus/>
</cp:coreProperties>
</file>